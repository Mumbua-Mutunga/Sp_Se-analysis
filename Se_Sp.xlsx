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umbuamutunga/Library/CloudStorage/Dropbox/Desktop/Sp:Se_Analysis/Sp_Se-analysis/"/>
    </mc:Choice>
  </mc:AlternateContent>
  <xr:revisionPtr revIDLastSave="0" documentId="13_ncr:1_{A11887C9-1EED-E144-82B7-463143245522}" xr6:coauthVersionLast="47" xr6:coauthVersionMax="47" xr10:uidLastSave="{00000000-0000-0000-0000-000000000000}"/>
  <bookViews>
    <workbookView xWindow="0" yWindow="0" windowWidth="28800" windowHeight="18000" xr2:uid="{B72178FB-8AC9-0040-916E-7177EA3259FD}"/>
  </bookViews>
  <sheets>
    <sheet name="Sheet1" sheetId="1" r:id="rId1"/>
    <sheet name="Sheet2" sheetId="2" r:id="rId2"/>
    <sheet name="Tes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3" l="1"/>
  <c r="K21" i="3"/>
  <c r="J21" i="3"/>
  <c r="I21" i="3"/>
  <c r="H21" i="3"/>
  <c r="G21" i="3"/>
  <c r="F21" i="3"/>
  <c r="E21" i="3"/>
  <c r="G6" i="2"/>
  <c r="C6" i="2"/>
  <c r="B6" i="2"/>
  <c r="D5" i="2"/>
  <c r="G12" i="2" s="1"/>
  <c r="D3" i="2"/>
  <c r="G10" i="2" s="1"/>
  <c r="D6" i="2" l="1"/>
</calcChain>
</file>

<file path=xl/sharedStrings.xml><?xml version="1.0" encoding="utf-8"?>
<sst xmlns="http://schemas.openxmlformats.org/spreadsheetml/2006/main" count="132" uniqueCount="42">
  <si>
    <t>Positive</t>
  </si>
  <si>
    <t>Negative</t>
  </si>
  <si>
    <t>RDT</t>
  </si>
  <si>
    <t>PCR</t>
  </si>
  <si>
    <t>RDT Positive</t>
  </si>
  <si>
    <t>RDT negative</t>
  </si>
  <si>
    <t>PCR Positive</t>
  </si>
  <si>
    <t>PCR Negative</t>
  </si>
  <si>
    <t>False Positive</t>
  </si>
  <si>
    <t>False Negative</t>
  </si>
  <si>
    <t>Goats 2, Canine 3, Bovine 2</t>
  </si>
  <si>
    <t>No</t>
  </si>
  <si>
    <t>LFD Inconclusive</t>
  </si>
  <si>
    <t>Canine</t>
  </si>
  <si>
    <t>Goats</t>
  </si>
  <si>
    <t>Bovine</t>
  </si>
  <si>
    <t>Caprine</t>
  </si>
  <si>
    <t xml:space="preserve">Equine </t>
  </si>
  <si>
    <t>Ovine</t>
  </si>
  <si>
    <t>Bovine 5, Canine 25, Caprine 6, Equine 1, Feline 1</t>
  </si>
  <si>
    <t>Feline</t>
  </si>
  <si>
    <t>Comments</t>
  </si>
  <si>
    <t>County</t>
  </si>
  <si>
    <t>Makueni</t>
  </si>
  <si>
    <t xml:space="preserve">Bovine </t>
  </si>
  <si>
    <t>Bovine 1, Canine 9, Caprine 5, Feline 1</t>
  </si>
  <si>
    <t>39 samples have not had PCR done</t>
  </si>
  <si>
    <t>Siaya</t>
  </si>
  <si>
    <t xml:space="preserve">Canine </t>
  </si>
  <si>
    <t>Bovine 5, Canine 13, Ovine 1</t>
  </si>
  <si>
    <t>19 samples have not had PCR done</t>
  </si>
  <si>
    <t>Bovine 2, Canine 29, Human 1</t>
  </si>
  <si>
    <t>Human</t>
  </si>
  <si>
    <t>22 samples have not had PCR done</t>
  </si>
  <si>
    <t>Total</t>
  </si>
  <si>
    <t>12 samples have not had PCR done</t>
  </si>
  <si>
    <t>Total samples 205</t>
  </si>
  <si>
    <t>True Positive</t>
  </si>
  <si>
    <t>True Negative</t>
  </si>
  <si>
    <t>Year</t>
  </si>
  <si>
    <t>Species (collective)</t>
  </si>
  <si>
    <t>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</si>
</sst>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1" xfId="0" applyFont="1" applyBorder="1"/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1" fillId="0" borderId="1" xfId="0" applyFont="1" applyBorder="1"/>
    <xf numFmtId="0" fontId="2" fillId="0" borderId="1" xfId="0" applyFont="1" applyBorder="1"/>
    <xf numFmtId="0" fontId="3" fillId="3" borderId="1" xfId="0" applyFont="1" applyFill="1" applyBorder="1"/>
    <xf numFmtId="0" fontId="3" fillId="2" borderId="1" xfId="0" applyFont="1" applyFill="1" applyBorder="1" applyAlignment="1">
      <alignment wrapText="1"/>
    </xf>
    <xf numFmtId="0" fontId="3" fillId="4" borderId="1" xfId="0" applyFont="1" applyFill="1" applyBorder="1"/>
    <xf numFmtId="0" fontId="3" fillId="4" borderId="0" xfId="0" applyFont="1" applyFill="1"/>
    <xf numFmtId="0" fontId="4" fillId="4" borderId="0" xfId="0" applyFont="1" applyFill="1"/>
    <xf numFmtId="0" fontId="0" fillId="2" borderId="0" xfId="0" applyFill="1"/>
    <xf numFmtId="0" fontId="3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A487B-5E8E-1C47-AC10-4189C030E025}">
  <dimension ref="A1:M20"/>
  <sheetViews>
    <sheetView tabSelected="1" workbookViewId="0">
      <pane ySplit="1" topLeftCell="A11" activePane="bottomLeft" state="frozen"/>
      <selection pane="bottomLeft" activeCell="G28" sqref="G28"/>
    </sheetView>
  </sheetViews>
  <sheetFormatPr baseColWidth="10" defaultRowHeight="16" x14ac:dyDescent="0.2"/>
  <cols>
    <col min="1" max="1" width="10.83203125" style="2"/>
    <col min="2" max="2" width="5.83203125" style="1" bestFit="1" customWidth="1"/>
    <col min="3" max="3" width="15.33203125" style="2" bestFit="1" customWidth="1"/>
    <col min="4" max="4" width="15.33203125" style="2" customWidth="1"/>
    <col min="5" max="5" width="14.5" style="2" customWidth="1"/>
    <col min="6" max="6" width="13.33203125" style="2" bestFit="1" customWidth="1"/>
    <col min="7" max="8" width="14.1640625" style="2" bestFit="1" customWidth="1"/>
    <col min="9" max="9" width="15.1640625" style="2" bestFit="1" customWidth="1"/>
    <col min="10" max="10" width="17.6640625" style="2" bestFit="1" customWidth="1"/>
    <col min="11" max="11" width="13" style="2" bestFit="1" customWidth="1"/>
    <col min="12" max="12" width="14" style="2" bestFit="1" customWidth="1"/>
    <col min="13" max="13" width="30.1640625" style="2" bestFit="1" customWidth="1"/>
    <col min="14" max="16384" width="10.83203125" style="2"/>
  </cols>
  <sheetData>
    <row r="1" spans="1:13" ht="40" x14ac:dyDescent="0.25">
      <c r="A1" s="8" t="s">
        <v>22</v>
      </c>
      <c r="B1" s="5" t="s">
        <v>39</v>
      </c>
      <c r="C1" s="16" t="s">
        <v>40</v>
      </c>
      <c r="D1" s="5" t="s">
        <v>41</v>
      </c>
      <c r="E1" s="5" t="s">
        <v>11</v>
      </c>
      <c r="F1" s="5" t="s">
        <v>4</v>
      </c>
      <c r="G1" s="5" t="s">
        <v>5</v>
      </c>
      <c r="H1" s="5" t="s">
        <v>8</v>
      </c>
      <c r="I1" s="5" t="s">
        <v>9</v>
      </c>
      <c r="J1" s="5" t="s">
        <v>12</v>
      </c>
      <c r="K1" s="5" t="s">
        <v>6</v>
      </c>
      <c r="L1" s="5" t="s">
        <v>7</v>
      </c>
      <c r="M1" s="5" t="s">
        <v>21</v>
      </c>
    </row>
    <row r="2" spans="1:13" ht="60" x14ac:dyDescent="0.25">
      <c r="A2" s="10" t="s">
        <v>23</v>
      </c>
      <c r="B2" s="5">
        <v>2020</v>
      </c>
      <c r="C2" s="7" t="s">
        <v>10</v>
      </c>
      <c r="D2" s="7" t="s">
        <v>14</v>
      </c>
      <c r="E2" s="6">
        <v>2</v>
      </c>
      <c r="F2" s="6">
        <v>2</v>
      </c>
      <c r="G2" s="6">
        <v>0</v>
      </c>
      <c r="H2" s="6">
        <v>0</v>
      </c>
      <c r="I2" s="6">
        <v>0</v>
      </c>
      <c r="J2" s="6">
        <v>0</v>
      </c>
      <c r="K2" s="6">
        <v>2</v>
      </c>
      <c r="L2" s="6">
        <v>0</v>
      </c>
      <c r="M2" s="9"/>
    </row>
    <row r="3" spans="1:13" ht="20" x14ac:dyDescent="0.25">
      <c r="A3" s="10" t="s">
        <v>23</v>
      </c>
      <c r="B3" s="5">
        <v>2020</v>
      </c>
      <c r="C3" s="7"/>
      <c r="D3" s="7" t="s">
        <v>13</v>
      </c>
      <c r="E3" s="6">
        <v>3</v>
      </c>
      <c r="F3" s="6">
        <v>1</v>
      </c>
      <c r="G3" s="6">
        <v>1</v>
      </c>
      <c r="H3" s="6">
        <v>1</v>
      </c>
      <c r="I3" s="6">
        <v>0</v>
      </c>
      <c r="J3" s="6">
        <v>0</v>
      </c>
      <c r="K3" s="6">
        <v>1</v>
      </c>
      <c r="L3" s="6">
        <v>2</v>
      </c>
      <c r="M3" s="9"/>
    </row>
    <row r="4" spans="1:13" ht="20" x14ac:dyDescent="0.25">
      <c r="A4" s="10" t="s">
        <v>23</v>
      </c>
      <c r="B4" s="5">
        <v>2020</v>
      </c>
      <c r="C4" s="7"/>
      <c r="D4" s="7" t="s">
        <v>15</v>
      </c>
      <c r="E4" s="6">
        <v>2</v>
      </c>
      <c r="F4" s="6">
        <v>0</v>
      </c>
      <c r="G4" s="6">
        <v>2</v>
      </c>
      <c r="H4" s="6">
        <v>0</v>
      </c>
      <c r="I4" s="6">
        <v>0</v>
      </c>
      <c r="J4" s="6">
        <v>0</v>
      </c>
      <c r="K4" s="6">
        <v>0</v>
      </c>
      <c r="L4" s="6">
        <v>2</v>
      </c>
      <c r="M4" s="9"/>
    </row>
    <row r="5" spans="1:13" ht="100" x14ac:dyDescent="0.25">
      <c r="A5" s="10" t="s">
        <v>23</v>
      </c>
      <c r="B5" s="5">
        <v>2021</v>
      </c>
      <c r="C5" s="7" t="s">
        <v>19</v>
      </c>
      <c r="D5" s="7" t="s">
        <v>15</v>
      </c>
      <c r="E5" s="6">
        <v>5</v>
      </c>
      <c r="F5" s="6">
        <v>3</v>
      </c>
      <c r="G5" s="6">
        <v>1</v>
      </c>
      <c r="H5" s="6">
        <v>0</v>
      </c>
      <c r="I5" s="6">
        <v>0</v>
      </c>
      <c r="J5" s="6">
        <v>1</v>
      </c>
      <c r="K5" s="6">
        <v>4</v>
      </c>
      <c r="L5" s="6">
        <v>1</v>
      </c>
      <c r="M5" s="11" t="s">
        <v>35</v>
      </c>
    </row>
    <row r="6" spans="1:13" ht="20" x14ac:dyDescent="0.25">
      <c r="A6" s="10" t="s">
        <v>23</v>
      </c>
      <c r="B6" s="5">
        <v>2021</v>
      </c>
      <c r="C6" s="7"/>
      <c r="D6" s="7" t="s">
        <v>13</v>
      </c>
      <c r="E6" s="6">
        <v>25</v>
      </c>
      <c r="F6" s="6">
        <v>18</v>
      </c>
      <c r="G6" s="6">
        <v>5</v>
      </c>
      <c r="H6" s="6">
        <v>1</v>
      </c>
      <c r="I6" s="6">
        <v>1</v>
      </c>
      <c r="J6" s="6">
        <v>0</v>
      </c>
      <c r="K6" s="6">
        <v>19</v>
      </c>
      <c r="L6" s="6">
        <v>6</v>
      </c>
      <c r="M6" s="9"/>
    </row>
    <row r="7" spans="1:13" ht="20" x14ac:dyDescent="0.25">
      <c r="A7" s="10" t="s">
        <v>23</v>
      </c>
      <c r="B7" s="5">
        <v>2021</v>
      </c>
      <c r="C7" s="7"/>
      <c r="D7" s="7" t="s">
        <v>16</v>
      </c>
      <c r="E7" s="6">
        <v>6</v>
      </c>
      <c r="F7" s="6">
        <v>4</v>
      </c>
      <c r="G7" s="6">
        <v>1</v>
      </c>
      <c r="H7" s="6">
        <v>0</v>
      </c>
      <c r="I7" s="6">
        <v>1</v>
      </c>
      <c r="J7" s="6">
        <v>0</v>
      </c>
      <c r="K7" s="6">
        <v>5</v>
      </c>
      <c r="L7" s="6">
        <v>1</v>
      </c>
      <c r="M7" s="9"/>
    </row>
    <row r="8" spans="1:13" ht="20" x14ac:dyDescent="0.25">
      <c r="A8" s="10" t="s">
        <v>23</v>
      </c>
      <c r="B8" s="5">
        <v>2021</v>
      </c>
      <c r="C8" s="7"/>
      <c r="D8" s="7" t="s">
        <v>17</v>
      </c>
      <c r="E8" s="6">
        <v>1</v>
      </c>
      <c r="F8" s="6">
        <v>0</v>
      </c>
      <c r="G8" s="6">
        <v>1</v>
      </c>
      <c r="H8" s="6">
        <v>0</v>
      </c>
      <c r="I8" s="6">
        <v>0</v>
      </c>
      <c r="J8" s="6">
        <v>0</v>
      </c>
      <c r="K8" s="6">
        <v>0</v>
      </c>
      <c r="L8" s="6">
        <v>1</v>
      </c>
      <c r="M8" s="9"/>
    </row>
    <row r="9" spans="1:13" ht="20" x14ac:dyDescent="0.25">
      <c r="A9" s="10" t="s">
        <v>23</v>
      </c>
      <c r="B9" s="5">
        <v>2021</v>
      </c>
      <c r="C9" s="7"/>
      <c r="D9" s="7" t="s">
        <v>18</v>
      </c>
      <c r="E9" s="6">
        <v>1</v>
      </c>
      <c r="F9" s="6">
        <v>0</v>
      </c>
      <c r="G9" s="6">
        <v>1</v>
      </c>
      <c r="H9" s="6">
        <v>0</v>
      </c>
      <c r="I9" s="6">
        <v>0</v>
      </c>
      <c r="J9" s="6">
        <v>0</v>
      </c>
      <c r="K9" s="6">
        <v>0</v>
      </c>
      <c r="L9" s="6">
        <v>1</v>
      </c>
      <c r="M9" s="9"/>
    </row>
    <row r="10" spans="1:13" ht="20" x14ac:dyDescent="0.25">
      <c r="A10" s="10" t="s">
        <v>23</v>
      </c>
      <c r="B10" s="5">
        <v>2021</v>
      </c>
      <c r="C10" s="7"/>
      <c r="D10" s="7" t="s">
        <v>20</v>
      </c>
      <c r="E10" s="6">
        <v>1</v>
      </c>
      <c r="F10" s="6">
        <v>0</v>
      </c>
      <c r="G10" s="6">
        <v>0</v>
      </c>
      <c r="H10" s="6">
        <v>1</v>
      </c>
      <c r="I10" s="6">
        <v>0</v>
      </c>
      <c r="J10" s="6">
        <v>0</v>
      </c>
      <c r="K10" s="6">
        <v>1</v>
      </c>
      <c r="L10" s="6">
        <v>0</v>
      </c>
      <c r="M10" s="9"/>
    </row>
    <row r="11" spans="1:13" ht="80" x14ac:dyDescent="0.25">
      <c r="A11" s="10" t="s">
        <v>23</v>
      </c>
      <c r="B11" s="5">
        <v>2022</v>
      </c>
      <c r="C11" s="7" t="s">
        <v>25</v>
      </c>
      <c r="D11" s="7" t="s">
        <v>24</v>
      </c>
      <c r="E11" s="6">
        <v>1</v>
      </c>
      <c r="F11" s="6">
        <v>1</v>
      </c>
      <c r="G11" s="6">
        <v>0</v>
      </c>
      <c r="H11" s="6">
        <v>0</v>
      </c>
      <c r="I11" s="6">
        <v>0</v>
      </c>
      <c r="J11" s="6">
        <v>0</v>
      </c>
      <c r="K11" s="6">
        <v>1</v>
      </c>
      <c r="L11" s="6">
        <v>0</v>
      </c>
      <c r="M11" s="11" t="s">
        <v>26</v>
      </c>
    </row>
    <row r="12" spans="1:13" ht="20" x14ac:dyDescent="0.25">
      <c r="A12" s="10" t="s">
        <v>23</v>
      </c>
      <c r="B12" s="5">
        <v>2022</v>
      </c>
      <c r="C12" s="7"/>
      <c r="D12" s="7" t="s">
        <v>13</v>
      </c>
      <c r="E12" s="6">
        <v>9</v>
      </c>
      <c r="F12" s="6">
        <v>9</v>
      </c>
      <c r="G12" s="6">
        <v>0</v>
      </c>
      <c r="H12" s="6">
        <v>0</v>
      </c>
      <c r="I12" s="6">
        <v>0</v>
      </c>
      <c r="J12" s="6">
        <v>0</v>
      </c>
      <c r="K12" s="6">
        <v>9</v>
      </c>
      <c r="L12" s="6">
        <v>0</v>
      </c>
      <c r="M12" s="6"/>
    </row>
    <row r="13" spans="1:13" ht="20" x14ac:dyDescent="0.25">
      <c r="A13" s="10" t="s">
        <v>23</v>
      </c>
      <c r="B13" s="5">
        <v>2022</v>
      </c>
      <c r="C13" s="7"/>
      <c r="D13" s="7" t="s">
        <v>16</v>
      </c>
      <c r="E13" s="6">
        <v>5</v>
      </c>
      <c r="F13" s="6">
        <v>5</v>
      </c>
      <c r="G13" s="6">
        <v>0</v>
      </c>
      <c r="H13" s="6">
        <v>0</v>
      </c>
      <c r="I13" s="6">
        <v>0</v>
      </c>
      <c r="J13" s="6">
        <v>0</v>
      </c>
      <c r="K13" s="6">
        <v>5</v>
      </c>
      <c r="L13" s="6">
        <v>0</v>
      </c>
      <c r="M13" s="6"/>
    </row>
    <row r="14" spans="1:13" ht="20" x14ac:dyDescent="0.25">
      <c r="A14" s="10" t="s">
        <v>23</v>
      </c>
      <c r="B14" s="5">
        <v>2022</v>
      </c>
      <c r="C14" s="7"/>
      <c r="D14" s="7" t="s">
        <v>20</v>
      </c>
      <c r="E14" s="6">
        <v>1</v>
      </c>
      <c r="F14" s="6">
        <v>1</v>
      </c>
      <c r="G14" s="6">
        <v>0</v>
      </c>
      <c r="H14" s="6">
        <v>0</v>
      </c>
      <c r="I14" s="6">
        <v>0</v>
      </c>
      <c r="J14" s="6">
        <v>0</v>
      </c>
      <c r="K14" s="6">
        <v>1</v>
      </c>
      <c r="L14" s="6">
        <v>0</v>
      </c>
      <c r="M14" s="6"/>
    </row>
    <row r="15" spans="1:13" ht="60" x14ac:dyDescent="0.25">
      <c r="A15" s="10" t="s">
        <v>27</v>
      </c>
      <c r="B15" s="5">
        <v>2021</v>
      </c>
      <c r="C15" s="7" t="s">
        <v>29</v>
      </c>
      <c r="D15" s="7" t="s">
        <v>15</v>
      </c>
      <c r="E15" s="6">
        <v>5</v>
      </c>
      <c r="F15" s="6">
        <v>5</v>
      </c>
      <c r="G15" s="6">
        <v>0</v>
      </c>
      <c r="H15" s="6">
        <v>0</v>
      </c>
      <c r="I15" s="6">
        <v>0</v>
      </c>
      <c r="J15" s="6">
        <v>0</v>
      </c>
      <c r="K15" s="6">
        <v>5</v>
      </c>
      <c r="L15" s="6">
        <v>0</v>
      </c>
      <c r="M15" s="11" t="s">
        <v>30</v>
      </c>
    </row>
    <row r="16" spans="1:13" ht="20" x14ac:dyDescent="0.25">
      <c r="A16" s="10" t="s">
        <v>27</v>
      </c>
      <c r="B16" s="5">
        <v>2021</v>
      </c>
      <c r="C16" s="7"/>
      <c r="D16" s="7" t="s">
        <v>28</v>
      </c>
      <c r="E16" s="6">
        <v>13</v>
      </c>
      <c r="F16" s="6">
        <v>10</v>
      </c>
      <c r="G16" s="6">
        <v>2</v>
      </c>
      <c r="H16" s="6">
        <v>1</v>
      </c>
      <c r="I16" s="6">
        <v>0</v>
      </c>
      <c r="J16" s="6">
        <v>0</v>
      </c>
      <c r="K16" s="6">
        <v>10</v>
      </c>
      <c r="L16" s="6">
        <v>3</v>
      </c>
      <c r="M16" s="6"/>
    </row>
    <row r="17" spans="1:13" ht="20" x14ac:dyDescent="0.25">
      <c r="A17" s="10" t="s">
        <v>27</v>
      </c>
      <c r="B17" s="5">
        <v>2021</v>
      </c>
      <c r="C17" s="7"/>
      <c r="D17" s="7" t="s">
        <v>18</v>
      </c>
      <c r="E17" s="6">
        <v>1</v>
      </c>
      <c r="F17" s="6">
        <v>0</v>
      </c>
      <c r="G17" s="6">
        <v>0</v>
      </c>
      <c r="H17" s="6">
        <v>1</v>
      </c>
      <c r="I17" s="6">
        <v>0</v>
      </c>
      <c r="J17" s="6">
        <v>0</v>
      </c>
      <c r="K17" s="6">
        <v>0</v>
      </c>
      <c r="L17" s="6">
        <v>1</v>
      </c>
      <c r="M17" s="6"/>
    </row>
    <row r="18" spans="1:13" ht="60" x14ac:dyDescent="0.25">
      <c r="A18" s="10" t="s">
        <v>27</v>
      </c>
      <c r="B18" s="5">
        <v>2022</v>
      </c>
      <c r="C18" s="7" t="s">
        <v>31</v>
      </c>
      <c r="D18" s="7" t="s">
        <v>15</v>
      </c>
      <c r="E18" s="6">
        <v>2</v>
      </c>
      <c r="F18" s="6">
        <v>2</v>
      </c>
      <c r="G18" s="6">
        <v>0</v>
      </c>
      <c r="H18" s="6">
        <v>0</v>
      </c>
      <c r="I18" s="6">
        <v>0</v>
      </c>
      <c r="J18" s="6">
        <v>0</v>
      </c>
      <c r="K18" s="6">
        <v>2</v>
      </c>
      <c r="L18" s="6">
        <v>0</v>
      </c>
      <c r="M18" s="11" t="s">
        <v>33</v>
      </c>
    </row>
    <row r="19" spans="1:13" ht="20" x14ac:dyDescent="0.25">
      <c r="A19" s="10" t="s">
        <v>27</v>
      </c>
      <c r="B19" s="5">
        <v>2022</v>
      </c>
      <c r="C19" s="7"/>
      <c r="D19" s="7" t="s">
        <v>28</v>
      </c>
      <c r="E19" s="6">
        <v>29</v>
      </c>
      <c r="F19" s="6">
        <v>28</v>
      </c>
      <c r="G19" s="6">
        <v>0</v>
      </c>
      <c r="H19" s="6">
        <v>1</v>
      </c>
      <c r="I19" s="6">
        <v>0</v>
      </c>
      <c r="J19" s="6">
        <v>0</v>
      </c>
      <c r="K19" s="6">
        <v>28</v>
      </c>
      <c r="L19" s="6">
        <v>1</v>
      </c>
      <c r="M19" s="6"/>
    </row>
    <row r="20" spans="1:13" ht="20" x14ac:dyDescent="0.25">
      <c r="A20" s="10" t="s">
        <v>27</v>
      </c>
      <c r="B20" s="5">
        <v>2022</v>
      </c>
      <c r="C20" s="7"/>
      <c r="D20" s="7" t="s">
        <v>32</v>
      </c>
      <c r="E20" s="6">
        <v>1</v>
      </c>
      <c r="F20" s="6">
        <v>1</v>
      </c>
      <c r="G20" s="6">
        <v>0</v>
      </c>
      <c r="H20" s="6">
        <v>0</v>
      </c>
      <c r="I20" s="6">
        <v>0</v>
      </c>
      <c r="J20" s="6">
        <v>0</v>
      </c>
      <c r="K20" s="6">
        <v>1</v>
      </c>
      <c r="L20" s="6">
        <v>0</v>
      </c>
      <c r="M20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38930-83F3-704E-BF47-445ED7A616C1}">
  <dimension ref="A1:G12"/>
  <sheetViews>
    <sheetView workbookViewId="0">
      <selection activeCell="G13" sqref="G13"/>
    </sheetView>
  </sheetViews>
  <sheetFormatPr baseColWidth="10" defaultRowHeight="16" x14ac:dyDescent="0.2"/>
  <cols>
    <col min="2" max="2" width="15" customWidth="1"/>
    <col min="3" max="3" width="18" customWidth="1"/>
  </cols>
  <sheetData>
    <row r="1" spans="1:7" ht="19" x14ac:dyDescent="0.25">
      <c r="A1" s="4"/>
      <c r="B1" s="4" t="s">
        <v>3</v>
      </c>
      <c r="C1" s="4"/>
      <c r="G1" t="s">
        <v>3</v>
      </c>
    </row>
    <row r="2" spans="1:7" ht="19" x14ac:dyDescent="0.25">
      <c r="A2" s="4" t="s">
        <v>2</v>
      </c>
      <c r="B2" s="4" t="s">
        <v>37</v>
      </c>
      <c r="C2" s="4" t="s">
        <v>8</v>
      </c>
      <c r="F2" s="4" t="s">
        <v>0</v>
      </c>
      <c r="G2">
        <v>94</v>
      </c>
    </row>
    <row r="3" spans="1:7" ht="19" x14ac:dyDescent="0.25">
      <c r="A3" s="4"/>
      <c r="B3" s="3">
        <v>90</v>
      </c>
      <c r="C3" s="3">
        <v>6</v>
      </c>
      <c r="D3" s="13">
        <f>B3+C3</f>
        <v>96</v>
      </c>
    </row>
    <row r="4" spans="1:7" ht="19" x14ac:dyDescent="0.25">
      <c r="A4" s="4"/>
      <c r="B4" s="4" t="s">
        <v>9</v>
      </c>
      <c r="C4" s="4" t="s">
        <v>38</v>
      </c>
      <c r="D4" s="13"/>
      <c r="F4" t="s">
        <v>1</v>
      </c>
      <c r="G4">
        <v>19</v>
      </c>
    </row>
    <row r="5" spans="1:7" ht="19" x14ac:dyDescent="0.25">
      <c r="A5" s="4"/>
      <c r="B5" s="3">
        <v>2</v>
      </c>
      <c r="C5" s="3">
        <v>14</v>
      </c>
      <c r="D5" s="13">
        <f>B5+C5</f>
        <v>16</v>
      </c>
    </row>
    <row r="6" spans="1:7" ht="19" x14ac:dyDescent="0.25">
      <c r="A6" s="4"/>
      <c r="B6" s="14">
        <f>B3+B5</f>
        <v>92</v>
      </c>
      <c r="C6" s="14">
        <f>C3+C5</f>
        <v>20</v>
      </c>
      <c r="D6" s="15">
        <f>SUM(D3:D5)</f>
        <v>112</v>
      </c>
      <c r="G6">
        <f>SUM(G2:G4)</f>
        <v>113</v>
      </c>
    </row>
    <row r="7" spans="1:7" ht="19" x14ac:dyDescent="0.25">
      <c r="A7" s="4"/>
      <c r="B7" s="4"/>
      <c r="C7" s="4"/>
    </row>
    <row r="8" spans="1:7" ht="19" x14ac:dyDescent="0.25">
      <c r="A8" s="4"/>
      <c r="B8" s="4"/>
      <c r="C8" s="4"/>
    </row>
    <row r="10" spans="1:7" x14ac:dyDescent="0.2">
      <c r="G10">
        <f>B3/D3</f>
        <v>0.9375</v>
      </c>
    </row>
    <row r="12" spans="1:7" x14ac:dyDescent="0.2">
      <c r="G12">
        <f>C5/D5</f>
        <v>0.875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0CAD2-354F-364A-B986-E83148D38036}">
  <dimension ref="A1:M21"/>
  <sheetViews>
    <sheetView workbookViewId="0">
      <selection sqref="A1:XFD1048576"/>
    </sheetView>
  </sheetViews>
  <sheetFormatPr baseColWidth="10" defaultRowHeight="16" x14ac:dyDescent="0.2"/>
  <cols>
    <col min="1" max="1" width="10.83203125" style="2"/>
    <col min="2" max="2" width="5.83203125" style="1" bestFit="1" customWidth="1"/>
    <col min="3" max="3" width="15.33203125" style="2" bestFit="1" customWidth="1"/>
    <col min="4" max="4" width="15.33203125" style="2" customWidth="1"/>
    <col min="5" max="5" width="14.5" style="2" customWidth="1"/>
    <col min="6" max="6" width="13.33203125" style="2" bestFit="1" customWidth="1"/>
    <col min="7" max="8" width="14.1640625" style="2" bestFit="1" customWidth="1"/>
    <col min="9" max="9" width="15.1640625" style="2" bestFit="1" customWidth="1"/>
    <col min="10" max="10" width="17.6640625" style="2" bestFit="1" customWidth="1"/>
    <col min="11" max="11" width="13" style="2" bestFit="1" customWidth="1"/>
    <col min="12" max="12" width="14" style="2" bestFit="1" customWidth="1"/>
    <col min="13" max="13" width="30.1640625" style="2" bestFit="1" customWidth="1"/>
    <col min="14" max="16384" width="10.83203125" style="2"/>
  </cols>
  <sheetData>
    <row r="1" spans="1:13" ht="40" x14ac:dyDescent="0.25">
      <c r="A1" s="8" t="s">
        <v>22</v>
      </c>
      <c r="B1" s="5" t="s">
        <v>39</v>
      </c>
      <c r="C1" s="16" t="s">
        <v>40</v>
      </c>
      <c r="D1" s="5" t="s">
        <v>41</v>
      </c>
      <c r="E1" s="5" t="s">
        <v>11</v>
      </c>
      <c r="F1" s="5" t="s">
        <v>4</v>
      </c>
      <c r="G1" s="5" t="s">
        <v>5</v>
      </c>
      <c r="H1" s="5" t="s">
        <v>8</v>
      </c>
      <c r="I1" s="5" t="s">
        <v>9</v>
      </c>
      <c r="J1" s="5" t="s">
        <v>12</v>
      </c>
      <c r="K1" s="5" t="s">
        <v>6</v>
      </c>
      <c r="L1" s="5" t="s">
        <v>7</v>
      </c>
      <c r="M1" s="5" t="s">
        <v>21</v>
      </c>
    </row>
    <row r="2" spans="1:13" ht="60" x14ac:dyDescent="0.25">
      <c r="A2" s="10" t="s">
        <v>23</v>
      </c>
      <c r="B2" s="5">
        <v>2020</v>
      </c>
      <c r="C2" s="7" t="s">
        <v>10</v>
      </c>
      <c r="D2" s="7" t="s">
        <v>14</v>
      </c>
      <c r="E2" s="6">
        <v>2</v>
      </c>
      <c r="F2" s="6">
        <v>2</v>
      </c>
      <c r="G2" s="6">
        <v>0</v>
      </c>
      <c r="H2" s="6">
        <v>0</v>
      </c>
      <c r="I2" s="6">
        <v>0</v>
      </c>
      <c r="J2" s="6">
        <v>0</v>
      </c>
      <c r="K2" s="6">
        <v>2</v>
      </c>
      <c r="L2" s="6">
        <v>0</v>
      </c>
      <c r="M2" s="9"/>
    </row>
    <row r="3" spans="1:13" ht="20" x14ac:dyDescent="0.25">
      <c r="A3" s="10" t="s">
        <v>23</v>
      </c>
      <c r="B3" s="5">
        <v>2020</v>
      </c>
      <c r="C3" s="7"/>
      <c r="D3" s="7" t="s">
        <v>13</v>
      </c>
      <c r="E3" s="6">
        <v>3</v>
      </c>
      <c r="F3" s="6">
        <v>1</v>
      </c>
      <c r="G3" s="6">
        <v>1</v>
      </c>
      <c r="H3" s="6">
        <v>1</v>
      </c>
      <c r="I3" s="6">
        <v>0</v>
      </c>
      <c r="J3" s="6">
        <v>0</v>
      </c>
      <c r="K3" s="6">
        <v>1</v>
      </c>
      <c r="L3" s="6">
        <v>2</v>
      </c>
      <c r="M3" s="9"/>
    </row>
    <row r="4" spans="1:13" ht="20" x14ac:dyDescent="0.25">
      <c r="A4" s="10" t="s">
        <v>23</v>
      </c>
      <c r="B4" s="5">
        <v>2020</v>
      </c>
      <c r="C4" s="7"/>
      <c r="D4" s="7" t="s">
        <v>15</v>
      </c>
      <c r="E4" s="6">
        <v>2</v>
      </c>
      <c r="F4" s="6">
        <v>0</v>
      </c>
      <c r="G4" s="6">
        <v>2</v>
      </c>
      <c r="H4" s="6">
        <v>0</v>
      </c>
      <c r="I4" s="6">
        <v>0</v>
      </c>
      <c r="J4" s="6">
        <v>0</v>
      </c>
      <c r="K4" s="6">
        <v>0</v>
      </c>
      <c r="L4" s="6">
        <v>2</v>
      </c>
      <c r="M4" s="9"/>
    </row>
    <row r="5" spans="1:13" ht="100" x14ac:dyDescent="0.25">
      <c r="A5" s="10" t="s">
        <v>23</v>
      </c>
      <c r="B5" s="5">
        <v>2021</v>
      </c>
      <c r="C5" s="7" t="s">
        <v>19</v>
      </c>
      <c r="D5" s="7" t="s">
        <v>15</v>
      </c>
      <c r="E5" s="6">
        <v>5</v>
      </c>
      <c r="F5" s="6">
        <v>3</v>
      </c>
      <c r="G5" s="6">
        <v>1</v>
      </c>
      <c r="H5" s="6">
        <v>0</v>
      </c>
      <c r="I5" s="6">
        <v>0</v>
      </c>
      <c r="J5" s="6">
        <v>1</v>
      </c>
      <c r="K5" s="6">
        <v>4</v>
      </c>
      <c r="L5" s="6">
        <v>1</v>
      </c>
      <c r="M5" s="11" t="s">
        <v>35</v>
      </c>
    </row>
    <row r="6" spans="1:13" ht="20" x14ac:dyDescent="0.25">
      <c r="A6" s="10" t="s">
        <v>23</v>
      </c>
      <c r="B6" s="5">
        <v>2021</v>
      </c>
      <c r="C6" s="7"/>
      <c r="D6" s="7" t="s">
        <v>13</v>
      </c>
      <c r="E6" s="6">
        <v>25</v>
      </c>
      <c r="F6" s="6">
        <v>18</v>
      </c>
      <c r="G6" s="6">
        <v>5</v>
      </c>
      <c r="H6" s="6">
        <v>1</v>
      </c>
      <c r="I6" s="6">
        <v>1</v>
      </c>
      <c r="J6" s="6">
        <v>0</v>
      </c>
      <c r="K6" s="6">
        <v>19</v>
      </c>
      <c r="L6" s="6">
        <v>6</v>
      </c>
      <c r="M6" s="9"/>
    </row>
    <row r="7" spans="1:13" ht="20" x14ac:dyDescent="0.25">
      <c r="A7" s="10" t="s">
        <v>23</v>
      </c>
      <c r="B7" s="5">
        <v>2021</v>
      </c>
      <c r="C7" s="7"/>
      <c r="D7" s="7" t="s">
        <v>16</v>
      </c>
      <c r="E7" s="6">
        <v>6</v>
      </c>
      <c r="F7" s="6">
        <v>4</v>
      </c>
      <c r="G7" s="6">
        <v>1</v>
      </c>
      <c r="H7" s="6">
        <v>0</v>
      </c>
      <c r="I7" s="6">
        <v>1</v>
      </c>
      <c r="J7" s="6">
        <v>0</v>
      </c>
      <c r="K7" s="6">
        <v>5</v>
      </c>
      <c r="L7" s="6">
        <v>1</v>
      </c>
      <c r="M7" s="9"/>
    </row>
    <row r="8" spans="1:13" ht="20" x14ac:dyDescent="0.25">
      <c r="A8" s="10" t="s">
        <v>23</v>
      </c>
      <c r="B8" s="5">
        <v>2021</v>
      </c>
      <c r="C8" s="7"/>
      <c r="D8" s="7" t="s">
        <v>17</v>
      </c>
      <c r="E8" s="6">
        <v>1</v>
      </c>
      <c r="F8" s="6">
        <v>0</v>
      </c>
      <c r="G8" s="6">
        <v>1</v>
      </c>
      <c r="H8" s="6">
        <v>0</v>
      </c>
      <c r="I8" s="6">
        <v>0</v>
      </c>
      <c r="J8" s="6">
        <v>0</v>
      </c>
      <c r="K8" s="6">
        <v>0</v>
      </c>
      <c r="L8" s="6">
        <v>1</v>
      </c>
      <c r="M8" s="9"/>
    </row>
    <row r="9" spans="1:13" ht="20" x14ac:dyDescent="0.25">
      <c r="A9" s="10" t="s">
        <v>23</v>
      </c>
      <c r="B9" s="5">
        <v>2021</v>
      </c>
      <c r="C9" s="7"/>
      <c r="D9" s="7" t="s">
        <v>18</v>
      </c>
      <c r="E9" s="6">
        <v>1</v>
      </c>
      <c r="F9" s="6">
        <v>0</v>
      </c>
      <c r="G9" s="6">
        <v>1</v>
      </c>
      <c r="H9" s="6">
        <v>0</v>
      </c>
      <c r="I9" s="6">
        <v>0</v>
      </c>
      <c r="J9" s="6">
        <v>0</v>
      </c>
      <c r="K9" s="6">
        <v>0</v>
      </c>
      <c r="L9" s="6">
        <v>1</v>
      </c>
      <c r="M9" s="9"/>
    </row>
    <row r="10" spans="1:13" ht="20" x14ac:dyDescent="0.25">
      <c r="A10" s="10" t="s">
        <v>23</v>
      </c>
      <c r="B10" s="5">
        <v>2021</v>
      </c>
      <c r="C10" s="7"/>
      <c r="D10" s="7" t="s">
        <v>20</v>
      </c>
      <c r="E10" s="6">
        <v>1</v>
      </c>
      <c r="F10" s="6">
        <v>0</v>
      </c>
      <c r="G10" s="6">
        <v>0</v>
      </c>
      <c r="H10" s="6">
        <v>1</v>
      </c>
      <c r="I10" s="6">
        <v>0</v>
      </c>
      <c r="J10" s="6">
        <v>0</v>
      </c>
      <c r="K10" s="6">
        <v>1</v>
      </c>
      <c r="L10" s="6">
        <v>0</v>
      </c>
      <c r="M10" s="9"/>
    </row>
    <row r="11" spans="1:13" ht="80" x14ac:dyDescent="0.25">
      <c r="A11" s="10" t="s">
        <v>23</v>
      </c>
      <c r="B11" s="5">
        <v>2022</v>
      </c>
      <c r="C11" s="7" t="s">
        <v>25</v>
      </c>
      <c r="D11" s="7" t="s">
        <v>24</v>
      </c>
      <c r="E11" s="6">
        <v>1</v>
      </c>
      <c r="F11" s="6">
        <v>1</v>
      </c>
      <c r="G11" s="6">
        <v>0</v>
      </c>
      <c r="H11" s="6">
        <v>0</v>
      </c>
      <c r="I11" s="6">
        <v>0</v>
      </c>
      <c r="J11" s="6">
        <v>0</v>
      </c>
      <c r="K11" s="6">
        <v>1</v>
      </c>
      <c r="L11" s="6">
        <v>0</v>
      </c>
      <c r="M11" s="11" t="s">
        <v>26</v>
      </c>
    </row>
    <row r="12" spans="1:13" ht="20" x14ac:dyDescent="0.25">
      <c r="A12" s="10" t="s">
        <v>23</v>
      </c>
      <c r="B12" s="5">
        <v>2022</v>
      </c>
      <c r="C12" s="7"/>
      <c r="D12" s="7" t="s">
        <v>13</v>
      </c>
      <c r="E12" s="6">
        <v>9</v>
      </c>
      <c r="F12" s="6">
        <v>9</v>
      </c>
      <c r="G12" s="6">
        <v>0</v>
      </c>
      <c r="H12" s="6">
        <v>0</v>
      </c>
      <c r="I12" s="6">
        <v>0</v>
      </c>
      <c r="J12" s="6">
        <v>0</v>
      </c>
      <c r="K12" s="6">
        <v>9</v>
      </c>
      <c r="L12" s="6">
        <v>0</v>
      </c>
      <c r="M12" s="6"/>
    </row>
    <row r="13" spans="1:13" ht="20" x14ac:dyDescent="0.25">
      <c r="A13" s="10" t="s">
        <v>23</v>
      </c>
      <c r="B13" s="5">
        <v>2022</v>
      </c>
      <c r="C13" s="7"/>
      <c r="D13" s="7" t="s">
        <v>16</v>
      </c>
      <c r="E13" s="6">
        <v>5</v>
      </c>
      <c r="F13" s="6">
        <v>5</v>
      </c>
      <c r="G13" s="6">
        <v>0</v>
      </c>
      <c r="H13" s="6">
        <v>0</v>
      </c>
      <c r="I13" s="6">
        <v>0</v>
      </c>
      <c r="J13" s="6">
        <v>0</v>
      </c>
      <c r="K13" s="6">
        <v>5</v>
      </c>
      <c r="L13" s="6">
        <v>0</v>
      </c>
      <c r="M13" s="6"/>
    </row>
    <row r="14" spans="1:13" ht="20" x14ac:dyDescent="0.25">
      <c r="A14" s="10" t="s">
        <v>23</v>
      </c>
      <c r="B14" s="5">
        <v>2022</v>
      </c>
      <c r="C14" s="7"/>
      <c r="D14" s="7" t="s">
        <v>20</v>
      </c>
      <c r="E14" s="6">
        <v>1</v>
      </c>
      <c r="F14" s="6">
        <v>1</v>
      </c>
      <c r="G14" s="6">
        <v>0</v>
      </c>
      <c r="H14" s="6">
        <v>0</v>
      </c>
      <c r="I14" s="6">
        <v>0</v>
      </c>
      <c r="J14" s="6">
        <v>0</v>
      </c>
      <c r="K14" s="6">
        <v>1</v>
      </c>
      <c r="L14" s="6">
        <v>0</v>
      </c>
      <c r="M14" s="6"/>
    </row>
    <row r="15" spans="1:13" ht="60" x14ac:dyDescent="0.25">
      <c r="A15" s="10" t="s">
        <v>27</v>
      </c>
      <c r="B15" s="5">
        <v>2021</v>
      </c>
      <c r="C15" s="7" t="s">
        <v>29</v>
      </c>
      <c r="D15" s="7" t="s">
        <v>15</v>
      </c>
      <c r="E15" s="6">
        <v>5</v>
      </c>
      <c r="F15" s="6">
        <v>5</v>
      </c>
      <c r="G15" s="6">
        <v>0</v>
      </c>
      <c r="H15" s="6">
        <v>0</v>
      </c>
      <c r="I15" s="6">
        <v>0</v>
      </c>
      <c r="J15" s="6">
        <v>0</v>
      </c>
      <c r="K15" s="6">
        <v>5</v>
      </c>
      <c r="L15" s="6">
        <v>0</v>
      </c>
      <c r="M15" s="11" t="s">
        <v>30</v>
      </c>
    </row>
    <row r="16" spans="1:13" ht="20" x14ac:dyDescent="0.25">
      <c r="A16" s="10" t="s">
        <v>27</v>
      </c>
      <c r="B16" s="5">
        <v>2021</v>
      </c>
      <c r="C16" s="7"/>
      <c r="D16" s="7" t="s">
        <v>28</v>
      </c>
      <c r="E16" s="6">
        <v>13</v>
      </c>
      <c r="F16" s="6">
        <v>10</v>
      </c>
      <c r="G16" s="6">
        <v>2</v>
      </c>
      <c r="H16" s="6">
        <v>1</v>
      </c>
      <c r="I16" s="6">
        <v>0</v>
      </c>
      <c r="J16" s="6">
        <v>0</v>
      </c>
      <c r="K16" s="6">
        <v>10</v>
      </c>
      <c r="L16" s="6">
        <v>3</v>
      </c>
      <c r="M16" s="6"/>
    </row>
    <row r="17" spans="1:13" ht="20" x14ac:dyDescent="0.25">
      <c r="A17" s="10" t="s">
        <v>27</v>
      </c>
      <c r="B17" s="5">
        <v>2021</v>
      </c>
      <c r="C17" s="7"/>
      <c r="D17" s="7" t="s">
        <v>18</v>
      </c>
      <c r="E17" s="6">
        <v>1</v>
      </c>
      <c r="F17" s="6">
        <v>0</v>
      </c>
      <c r="G17" s="6">
        <v>0</v>
      </c>
      <c r="H17" s="6">
        <v>1</v>
      </c>
      <c r="I17" s="6">
        <v>0</v>
      </c>
      <c r="J17" s="6">
        <v>0</v>
      </c>
      <c r="K17" s="6">
        <v>0</v>
      </c>
      <c r="L17" s="6">
        <v>1</v>
      </c>
      <c r="M17" s="6"/>
    </row>
    <row r="18" spans="1:13" ht="60" x14ac:dyDescent="0.25">
      <c r="A18" s="10" t="s">
        <v>27</v>
      </c>
      <c r="B18" s="5">
        <v>2022</v>
      </c>
      <c r="C18" s="7" t="s">
        <v>31</v>
      </c>
      <c r="D18" s="7" t="s">
        <v>15</v>
      </c>
      <c r="E18" s="6">
        <v>2</v>
      </c>
      <c r="F18" s="6">
        <v>2</v>
      </c>
      <c r="G18" s="6">
        <v>0</v>
      </c>
      <c r="H18" s="6">
        <v>0</v>
      </c>
      <c r="I18" s="6">
        <v>0</v>
      </c>
      <c r="J18" s="6">
        <v>0</v>
      </c>
      <c r="K18" s="6">
        <v>2</v>
      </c>
      <c r="L18" s="6">
        <v>0</v>
      </c>
      <c r="M18" s="11" t="s">
        <v>33</v>
      </c>
    </row>
    <row r="19" spans="1:13" ht="20" x14ac:dyDescent="0.25">
      <c r="A19" s="10" t="s">
        <v>27</v>
      </c>
      <c r="B19" s="5">
        <v>2022</v>
      </c>
      <c r="C19" s="7"/>
      <c r="D19" s="7" t="s">
        <v>28</v>
      </c>
      <c r="E19" s="6">
        <v>29</v>
      </c>
      <c r="F19" s="6">
        <v>28</v>
      </c>
      <c r="G19" s="6">
        <v>0</v>
      </c>
      <c r="H19" s="6">
        <v>1</v>
      </c>
      <c r="I19" s="6">
        <v>0</v>
      </c>
      <c r="J19" s="6">
        <v>0</v>
      </c>
      <c r="K19" s="6">
        <v>28</v>
      </c>
      <c r="L19" s="6">
        <v>1</v>
      </c>
      <c r="M19" s="6"/>
    </row>
    <row r="20" spans="1:13" ht="20" x14ac:dyDescent="0.25">
      <c r="A20" s="10" t="s">
        <v>27</v>
      </c>
      <c r="B20" s="5">
        <v>2022</v>
      </c>
      <c r="C20" s="7"/>
      <c r="D20" s="7" t="s">
        <v>32</v>
      </c>
      <c r="E20" s="6">
        <v>1</v>
      </c>
      <c r="F20" s="6">
        <v>1</v>
      </c>
      <c r="G20" s="6">
        <v>0</v>
      </c>
      <c r="H20" s="6">
        <v>0</v>
      </c>
      <c r="I20" s="6">
        <v>0</v>
      </c>
      <c r="J20" s="6">
        <v>0</v>
      </c>
      <c r="K20" s="6">
        <v>1</v>
      </c>
      <c r="L20" s="6">
        <v>0</v>
      </c>
      <c r="M20" s="6"/>
    </row>
    <row r="21" spans="1:13" ht="20" x14ac:dyDescent="0.25">
      <c r="A21" s="10" t="s">
        <v>27</v>
      </c>
      <c r="B21" s="5">
        <v>2022</v>
      </c>
      <c r="C21" s="7" t="s">
        <v>34</v>
      </c>
      <c r="D21" s="7"/>
      <c r="E21" s="6">
        <f>SUM(E2:E20)</f>
        <v>113</v>
      </c>
      <c r="F21" s="6">
        <f>SUM(F2:F20)</f>
        <v>90</v>
      </c>
      <c r="G21" s="6">
        <f t="shared" ref="G21:J21" si="0">SUM(G2:G20)</f>
        <v>14</v>
      </c>
      <c r="H21" s="6">
        <f t="shared" si="0"/>
        <v>6</v>
      </c>
      <c r="I21" s="6">
        <f t="shared" si="0"/>
        <v>2</v>
      </c>
      <c r="J21" s="6">
        <f t="shared" si="0"/>
        <v>1</v>
      </c>
      <c r="K21" s="6">
        <f>SUM(K2:K20)</f>
        <v>94</v>
      </c>
      <c r="L21" s="6">
        <f>SUM(L2:L20)</f>
        <v>19</v>
      </c>
      <c r="M21" s="1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MUTUNGA LUCY MUMBUA</dc:creator>
  <cp:lastModifiedBy>MUTUNGA LUCY MUMBUA</cp:lastModifiedBy>
  <dcterms:created xsi:type="dcterms:W3CDTF">2024-08-21T10:38:04Z</dcterms:created>
  <dcterms:modified xsi:type="dcterms:W3CDTF">2024-10-07T09:56:54Z</dcterms:modified>
</cp:coreProperties>
</file>